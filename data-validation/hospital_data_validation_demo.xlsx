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perelis\Downloads\"/>
    </mc:Choice>
  </mc:AlternateContent>
  <xr:revisionPtr revIDLastSave="0" documentId="11_83FCA9E59B32212B2FB4A7223CA7BBC0EBE2C7A4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Hospital_Data" sheetId="1" r:id="rId1"/>
    <sheet name="Validation_Checks" sheetId="2" r:id="rId2"/>
    <sheet name="Validation_Summary" sheetId="3" r:id="rId3"/>
    <sheet name="Allowed_Valu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3" l="1"/>
  <c r="F9" i="2"/>
  <c r="H9" i="2" s="1"/>
  <c r="E9" i="2"/>
  <c r="G9" i="2" s="1"/>
  <c r="I9" i="2" s="1"/>
  <c r="J9" i="2" s="1"/>
  <c r="D9" i="2"/>
  <c r="C9" i="2"/>
  <c r="B9" i="2"/>
  <c r="A9" i="2"/>
  <c r="F8" i="2"/>
  <c r="H8" i="2" s="1"/>
  <c r="E8" i="2"/>
  <c r="G8" i="2" s="1"/>
  <c r="I8" i="2" s="1"/>
  <c r="J8" i="2" s="1"/>
  <c r="D8" i="2"/>
  <c r="C8" i="2"/>
  <c r="B8" i="2"/>
  <c r="A8" i="2"/>
  <c r="H7" i="2"/>
  <c r="G7" i="2"/>
  <c r="I7" i="2" s="1"/>
  <c r="J7" i="2" s="1"/>
  <c r="F7" i="2"/>
  <c r="E7" i="2"/>
  <c r="D7" i="2"/>
  <c r="C7" i="2"/>
  <c r="B7" i="2"/>
  <c r="A7" i="2"/>
  <c r="F6" i="2"/>
  <c r="H6" i="2" s="1"/>
  <c r="E6" i="2"/>
  <c r="G6" i="2" s="1"/>
  <c r="I6" i="2" s="1"/>
  <c r="J6" i="2" s="1"/>
  <c r="D6" i="2"/>
  <c r="C6" i="2"/>
  <c r="B6" i="2"/>
  <c r="A6" i="2"/>
  <c r="F5" i="2"/>
  <c r="H5" i="2" s="1"/>
  <c r="E5" i="2"/>
  <c r="G5" i="2" s="1"/>
  <c r="I5" i="2" s="1"/>
  <c r="J5" i="2" s="1"/>
  <c r="D5" i="2"/>
  <c r="C5" i="2"/>
  <c r="B5" i="2"/>
  <c r="A5" i="2"/>
  <c r="F4" i="2"/>
  <c r="H4" i="2" s="1"/>
  <c r="E4" i="2"/>
  <c r="G4" i="2" s="1"/>
  <c r="I4" i="2" s="1"/>
  <c r="J4" i="2" s="1"/>
  <c r="D4" i="2"/>
  <c r="C4" i="2"/>
  <c r="B4" i="2"/>
  <c r="A4" i="2"/>
  <c r="F3" i="2"/>
  <c r="H3" i="2" s="1"/>
  <c r="E3" i="2"/>
  <c r="G3" i="2" s="1"/>
  <c r="D3" i="2"/>
  <c r="C3" i="2"/>
  <c r="B3" i="2"/>
  <c r="A3" i="2"/>
  <c r="G2" i="2"/>
  <c r="F2" i="2"/>
  <c r="H2" i="2" s="1"/>
  <c r="B7" i="3" s="1"/>
  <c r="E2" i="2"/>
  <c r="D2" i="2"/>
  <c r="C2" i="2"/>
  <c r="B2" i="2"/>
  <c r="A2" i="2"/>
  <c r="I2" i="2" l="1"/>
  <c r="B6" i="3"/>
  <c r="I3" i="2"/>
  <c r="J3" i="2" s="1"/>
  <c r="B5" i="3" l="1"/>
  <c r="B4" i="3"/>
  <c r="J2" i="2"/>
</calcChain>
</file>

<file path=xl/sharedStrings.xml><?xml version="1.0" encoding="utf-8"?>
<sst xmlns="http://schemas.openxmlformats.org/spreadsheetml/2006/main" count="85" uniqueCount="49">
  <si>
    <t>Hospital ID</t>
  </si>
  <si>
    <t>Hospital (fictional)</t>
  </si>
  <si>
    <t>Reporting Month</t>
  </si>
  <si>
    <t>Project</t>
  </si>
  <si>
    <t>Completion Response</t>
  </si>
  <si>
    <t>Implementation Status</t>
  </si>
  <si>
    <t>H001</t>
  </si>
  <si>
    <t>Demo Hospital Alpha</t>
  </si>
  <si>
    <t>2026-01</t>
  </si>
  <si>
    <t>Project A</t>
  </si>
  <si>
    <t>YES</t>
  </si>
  <si>
    <t>COMPLETED</t>
  </si>
  <si>
    <t>H002</t>
  </si>
  <si>
    <t>Demo Hospital Beta</t>
  </si>
  <si>
    <t>MAYBE</t>
  </si>
  <si>
    <t>IN PROGRESS</t>
  </si>
  <si>
    <t>H003</t>
  </si>
  <si>
    <t>Demo Hospital Gamma</t>
  </si>
  <si>
    <t>Project B</t>
  </si>
  <si>
    <t>NO</t>
  </si>
  <si>
    <t>PENDING</t>
  </si>
  <si>
    <t>2026-02</t>
  </si>
  <si>
    <t>NOT STARTED</t>
  </si>
  <si>
    <t>H004</t>
  </si>
  <si>
    <t>Demo Hospital Delta</t>
  </si>
  <si>
    <t>2026-03</t>
  </si>
  <si>
    <t>Hospital</t>
  </si>
  <si>
    <t>Month</t>
  </si>
  <si>
    <t>Response</t>
  </si>
  <si>
    <t>Status</t>
  </si>
  <si>
    <t>Response Check</t>
  </si>
  <si>
    <t>Status Check</t>
  </si>
  <si>
    <t>Overall Check</t>
  </si>
  <si>
    <t>Follow-up</t>
  </si>
  <si>
    <t>VALIDATION DASHBOARD</t>
  </si>
  <si>
    <t>Result</t>
  </si>
  <si>
    <t>Total submissions</t>
  </si>
  <si>
    <t>Valid submissions</t>
  </si>
  <si>
    <t>Submissions with errors</t>
  </si>
  <si>
    <t>Response errors</t>
  </si>
  <si>
    <t>Status errors</t>
  </si>
  <si>
    <t>HOW TO TEST</t>
  </si>
  <si>
    <t>1</t>
  </si>
  <si>
    <t>Change a response in Hospital_Data columns E or F.</t>
  </si>
  <si>
    <t>2</t>
  </si>
  <si>
    <t>Use the dropdown for valid values; invalid example values already exist.</t>
  </si>
  <si>
    <t>3</t>
  </si>
  <si>
    <t>Review checks and request hospital confirmation before correction.</t>
  </si>
  <si>
    <t>Completion Responses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</si>
</sst>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43A57"/>
      </patternFill>
    </fill>
    <fill>
      <patternFill patternType="solid">
        <fgColor rgb="FFFFF4D6"/>
      </patternFill>
    </fill>
    <fill>
      <patternFill patternType="solid">
        <fgColor rgb="FFD9EA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1" fillId="2" borderId="0" xfId="1" applyFont="1" applyFill="1" applyAlignment="1">
      <alignment wrapText="1"/>
    </xf>
    <xf numFmtId="0" fontId="0" fillId="3" borderId="0" xfId="1" applyFont="1" applyFill="1"/>
    <xf numFmtId="0" fontId="2" fillId="4" borderId="0" xfId="1" applyFont="1" applyFill="1"/>
  </cellXfs>
  <cellStyles count="2">
    <cellStyle name="Normal" xfId="1" xr:uid="{00000000-0005-0000-0000-000000000000}"/>
    <cellStyle name="Κανονικό" xfId="0" builtinId="0"/>
  </cellStyles>
  <dxfs count="2"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27" customWidth="1"/>
    <col min="3" max="3" width="20" customWidth="1"/>
    <col min="4" max="4" width="17" customWidth="1"/>
    <col min="5" max="5" width="23" customWidth="1"/>
    <col min="6" max="6" width="27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s="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s="2" t="s">
        <v>14</v>
      </c>
      <c r="F3" s="2" t="s">
        <v>15</v>
      </c>
    </row>
    <row r="4" spans="1:6">
      <c r="A4" t="s">
        <v>16</v>
      </c>
      <c r="B4" t="s">
        <v>17</v>
      </c>
      <c r="C4" t="s">
        <v>8</v>
      </c>
      <c r="D4" t="s">
        <v>18</v>
      </c>
      <c r="E4" s="2" t="s">
        <v>19</v>
      </c>
      <c r="F4" s="2" t="s">
        <v>20</v>
      </c>
    </row>
    <row r="5" spans="1:6">
      <c r="A5" t="s">
        <v>6</v>
      </c>
      <c r="B5" t="s">
        <v>7</v>
      </c>
      <c r="C5" t="s">
        <v>21</v>
      </c>
      <c r="D5" t="s">
        <v>18</v>
      </c>
      <c r="E5" s="2" t="s">
        <v>19</v>
      </c>
      <c r="F5" s="2" t="s">
        <v>22</v>
      </c>
    </row>
    <row r="6" spans="1:6">
      <c r="A6" t="s">
        <v>12</v>
      </c>
      <c r="B6" t="s">
        <v>13</v>
      </c>
      <c r="C6" t="s">
        <v>21</v>
      </c>
      <c r="D6" t="s">
        <v>18</v>
      </c>
      <c r="E6" s="2" t="s">
        <v>10</v>
      </c>
      <c r="F6" s="2" t="s">
        <v>11</v>
      </c>
    </row>
    <row r="7" spans="1:6">
      <c r="A7" t="s">
        <v>16</v>
      </c>
      <c r="B7" t="s">
        <v>17</v>
      </c>
      <c r="C7" t="s">
        <v>21</v>
      </c>
      <c r="D7" t="s">
        <v>9</v>
      </c>
      <c r="E7" s="2" t="s">
        <v>10</v>
      </c>
      <c r="F7" s="2" t="s">
        <v>15</v>
      </c>
    </row>
    <row r="8" spans="1:6">
      <c r="A8" t="s">
        <v>23</v>
      </c>
      <c r="B8" t="s">
        <v>24</v>
      </c>
      <c r="C8" t="s">
        <v>21</v>
      </c>
      <c r="D8" t="s">
        <v>9</v>
      </c>
      <c r="E8" s="2" t="s">
        <v>19</v>
      </c>
      <c r="F8" s="2" t="s">
        <v>15</v>
      </c>
    </row>
    <row r="9" spans="1:6">
      <c r="A9" t="s">
        <v>23</v>
      </c>
      <c r="B9" t="s">
        <v>24</v>
      </c>
      <c r="C9" t="s">
        <v>25</v>
      </c>
      <c r="D9" t="s">
        <v>18</v>
      </c>
      <c r="E9" s="2" t="s">
        <v>10</v>
      </c>
      <c r="F9" s="2" t="s">
        <v>11</v>
      </c>
    </row>
  </sheetData>
  <dataValidations count="2">
    <dataValidation type="list" sqref="E2:E100" xr:uid="{00000000-0002-0000-0000-000002000000}">
      <formula1>"YES,NO"</formula1>
    </dataValidation>
    <dataValidation type="list" sqref="F2:F100" xr:uid="{00000000-0002-0000-0000-000003000000}">
      <formula1>"COMPLETED,IN PROGRESS,NOT STARTED"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Allowed_Values!$A$2:$A$3</xm:f>
          </x14:formula1>
          <xm:sqref>E2:E101</xm:sqref>
        </x14:dataValidation>
        <x14:dataValidation type="list" xr:uid="{00000000-0002-0000-0000-000001000000}">
          <x14:formula1>
            <xm:f>Allowed_Values!$B$2:$B$4</xm:f>
          </x14:formula1>
          <xm:sqref>F2:F101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9"/>
  <sheetViews>
    <sheetView workbookViewId="0">
      <pane ySplit="1" topLeftCell="A2" activePane="bottomLeft" state="frozen"/>
      <selection pane="bottomLeft" activeCell="G4" sqref="G4"/>
    </sheetView>
  </sheetViews>
  <sheetFormatPr defaultRowHeight="14.25"/>
  <cols>
    <col min="1" max="1" width="15" customWidth="1"/>
    <col min="2" max="2" width="27" customWidth="1"/>
    <col min="3" max="3" width="18" customWidth="1"/>
    <col min="4" max="4" width="16" customWidth="1"/>
    <col min="5" max="5" width="18" customWidth="1"/>
    <col min="6" max="6" width="24" customWidth="1"/>
    <col min="7" max="9" width="20" customWidth="1"/>
    <col min="10" max="10" width="43" customWidth="1"/>
  </cols>
  <sheetData>
    <row r="1" spans="1:10" ht="30" customHeight="1">
      <c r="A1" s="1" t="s">
        <v>0</v>
      </c>
      <c r="B1" s="1" t="s">
        <v>26</v>
      </c>
      <c r="C1" s="1" t="s">
        <v>27</v>
      </c>
      <c r="D1" s="1" t="s">
        <v>3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</row>
    <row r="2" spans="1:10">
      <c r="A2" t="str">
        <f>Hospital_Data!A2</f>
        <v>H001</v>
      </c>
      <c r="B2" t="str">
        <f>Hospital_Data!B2</f>
        <v>Demo Hospital Alpha</v>
      </c>
      <c r="C2" t="str">
        <f>Hospital_Data!C2</f>
        <v>2026-01</v>
      </c>
      <c r="D2" t="str">
        <f>Hospital_Data!D2</f>
        <v>Project A</v>
      </c>
      <c r="E2" t="str">
        <f>Hospital_Data!E2</f>
        <v>YES</v>
      </c>
      <c r="F2" t="str">
        <f>Hospital_Data!F2</f>
        <v>COMPLETED</v>
      </c>
      <c r="G2" t="str">
        <f>IF(E2="","error",IF(COUNTIF(Allowed_Values!$A$2:$A$3,E2)&gt;0,"ok","error"))</f>
        <v>ok</v>
      </c>
      <c r="H2" t="str">
        <f>IF(F2="","error",IF(COUNTIF(Allowed_Values!$B$2:$B$4,F2)&gt;0,"ok","error"))</f>
        <v>ok</v>
      </c>
      <c r="I2" t="str">
        <f t="shared" ref="I2:I9" si="0">IF(AND(G2="ok",H2="ok"),"ok","error")</f>
        <v>ok</v>
      </c>
      <c r="J2" t="str">
        <f t="shared" ref="J2:J9" si="1">IF(I2="error","Awaiting hospital confirmation","Valid")</f>
        <v>Valid</v>
      </c>
    </row>
    <row r="3" spans="1:10">
      <c r="A3" t="str">
        <f>Hospital_Data!A3</f>
        <v>H002</v>
      </c>
      <c r="B3" t="str">
        <f>Hospital_Data!B3</f>
        <v>Demo Hospital Beta</v>
      </c>
      <c r="C3" t="str">
        <f>Hospital_Data!C3</f>
        <v>2026-01</v>
      </c>
      <c r="D3" t="str">
        <f>Hospital_Data!D3</f>
        <v>Project A</v>
      </c>
      <c r="E3" t="str">
        <f>Hospital_Data!E3</f>
        <v>MAYBE</v>
      </c>
      <c r="F3" t="str">
        <f>Hospital_Data!F3</f>
        <v>IN PROGRESS</v>
      </c>
      <c r="G3" t="str">
        <f>IF(E3="","error",IF(COUNTIF(Allowed_Values!$A$2:$A$3,E3)&gt;0,"ok","error"))</f>
        <v>error</v>
      </c>
      <c r="H3" t="str">
        <f>IF(F3="","error",IF(COUNTIF(Allowed_Values!$B$2:$B$4,F3)&gt;0,"ok","error"))</f>
        <v>ok</v>
      </c>
      <c r="I3" t="str">
        <f t="shared" si="0"/>
        <v>error</v>
      </c>
      <c r="J3" t="str">
        <f t="shared" si="1"/>
        <v>Awaiting hospital confirmation</v>
      </c>
    </row>
    <row r="4" spans="1:10">
      <c r="A4" t="str">
        <f>Hospital_Data!A4</f>
        <v>H003</v>
      </c>
      <c r="B4" t="str">
        <f>Hospital_Data!B4</f>
        <v>Demo Hospital Gamma</v>
      </c>
      <c r="C4" t="str">
        <f>Hospital_Data!C4</f>
        <v>2026-01</v>
      </c>
      <c r="D4" t="str">
        <f>Hospital_Data!D4</f>
        <v>Project B</v>
      </c>
      <c r="E4" t="str">
        <f>Hospital_Data!E4</f>
        <v>NO</v>
      </c>
      <c r="F4" t="str">
        <f>Hospital_Data!F4</f>
        <v>PENDING</v>
      </c>
      <c r="G4" t="str">
        <f>IF(E4="","error",IF(COUNTIF(Allowed_Values!$A$2:$A$3,E4)&gt;0,"ok","error"))</f>
        <v>ok</v>
      </c>
      <c r="H4" t="str">
        <f>IF(F4="","error",IF(COUNTIF(Allowed_Values!$B$2:$B$4,F4)&gt;0,"ok","error"))</f>
        <v>error</v>
      </c>
      <c r="I4" t="str">
        <f t="shared" si="0"/>
        <v>error</v>
      </c>
      <c r="J4" t="str">
        <f t="shared" si="1"/>
        <v>Awaiting hospital confirmation</v>
      </c>
    </row>
    <row r="5" spans="1:10">
      <c r="A5" t="str">
        <f>Hospital_Data!A5</f>
        <v>H001</v>
      </c>
      <c r="B5" t="str">
        <f>Hospital_Data!B5</f>
        <v>Demo Hospital Alpha</v>
      </c>
      <c r="C5" t="str">
        <f>Hospital_Data!C5</f>
        <v>2026-02</v>
      </c>
      <c r="D5" t="str">
        <f>Hospital_Data!D5</f>
        <v>Project B</v>
      </c>
      <c r="E5" t="str">
        <f>Hospital_Data!E5</f>
        <v>NO</v>
      </c>
      <c r="F5" t="str">
        <f>Hospital_Data!F5</f>
        <v>NOT STARTED</v>
      </c>
      <c r="G5" t="str">
        <f>IF(E5="","error",IF(COUNTIF(Allowed_Values!$A$2:$A$3,E5)&gt;0,"ok","error"))</f>
        <v>ok</v>
      </c>
      <c r="H5" t="str">
        <f>IF(F5="","error",IF(COUNTIF(Allowed_Values!$B$2:$B$4,F5)&gt;0,"ok","error"))</f>
        <v>ok</v>
      </c>
      <c r="I5" t="str">
        <f t="shared" si="0"/>
        <v>ok</v>
      </c>
      <c r="J5" t="str">
        <f t="shared" si="1"/>
        <v>Valid</v>
      </c>
    </row>
    <row r="6" spans="1:10">
      <c r="A6" t="str">
        <f>Hospital_Data!A6</f>
        <v>H002</v>
      </c>
      <c r="B6" t="str">
        <f>Hospital_Data!B6</f>
        <v>Demo Hospital Beta</v>
      </c>
      <c r="C6" t="str">
        <f>Hospital_Data!C6</f>
        <v>2026-02</v>
      </c>
      <c r="D6" t="str">
        <f>Hospital_Data!D6</f>
        <v>Project B</v>
      </c>
      <c r="E6" t="str">
        <f>Hospital_Data!E6</f>
        <v>YES</v>
      </c>
      <c r="F6" t="str">
        <f>Hospital_Data!F6</f>
        <v>COMPLETED</v>
      </c>
      <c r="G6" t="str">
        <f>IF(E6="","error",IF(COUNTIF(Allowed_Values!$A$2:$A$3,E6)&gt;0,"ok","error"))</f>
        <v>ok</v>
      </c>
      <c r="H6" t="str">
        <f>IF(F6="","error",IF(COUNTIF(Allowed_Values!$B$2:$B$4,F6)&gt;0,"ok","error"))</f>
        <v>ok</v>
      </c>
      <c r="I6" t="str">
        <f t="shared" si="0"/>
        <v>ok</v>
      </c>
      <c r="J6" t="str">
        <f t="shared" si="1"/>
        <v>Valid</v>
      </c>
    </row>
    <row r="7" spans="1:10">
      <c r="A7" t="str">
        <f>Hospital_Data!A7</f>
        <v>H003</v>
      </c>
      <c r="B7" t="str">
        <f>Hospital_Data!B7</f>
        <v>Demo Hospital Gamma</v>
      </c>
      <c r="C7" t="str">
        <f>Hospital_Data!C7</f>
        <v>2026-02</v>
      </c>
      <c r="D7" t="str">
        <f>Hospital_Data!D7</f>
        <v>Project A</v>
      </c>
      <c r="E7" t="str">
        <f>Hospital_Data!E7</f>
        <v>YES</v>
      </c>
      <c r="F7" t="str">
        <f>Hospital_Data!F7</f>
        <v>IN PROGRESS</v>
      </c>
      <c r="G7" t="str">
        <f>IF(E7="","error",IF(COUNTIF(Allowed_Values!$A$2:$A$3,E7)&gt;0,"ok","error"))</f>
        <v>ok</v>
      </c>
      <c r="H7" t="str">
        <f>IF(F7="","error",IF(COUNTIF(Allowed_Values!$B$2:$B$4,F7)&gt;0,"ok","error"))</f>
        <v>ok</v>
      </c>
      <c r="I7" t="str">
        <f t="shared" si="0"/>
        <v>ok</v>
      </c>
      <c r="J7" t="str">
        <f t="shared" si="1"/>
        <v>Valid</v>
      </c>
    </row>
    <row r="8" spans="1:10">
      <c r="A8" t="str">
        <f>Hospital_Data!A8</f>
        <v>H004</v>
      </c>
      <c r="B8" t="str">
        <f>Hospital_Data!B8</f>
        <v>Demo Hospital Delta</v>
      </c>
      <c r="C8" t="str">
        <f>Hospital_Data!C8</f>
        <v>2026-02</v>
      </c>
      <c r="D8" t="str">
        <f>Hospital_Data!D8</f>
        <v>Project A</v>
      </c>
      <c r="E8" t="str">
        <f>Hospital_Data!E8</f>
        <v>NO</v>
      </c>
      <c r="F8" t="str">
        <f>Hospital_Data!F8</f>
        <v>IN PROGRESS</v>
      </c>
      <c r="G8" t="str">
        <f>IF(E8="","error",IF(COUNTIF(Allowed_Values!$A$2:$A$3,E8)&gt;0,"ok","error"))</f>
        <v>ok</v>
      </c>
      <c r="H8" t="str">
        <f>IF(F8="","error",IF(COUNTIF(Allowed_Values!$B$2:$B$4,F8)&gt;0,"ok","error"))</f>
        <v>ok</v>
      </c>
      <c r="I8" t="str">
        <f t="shared" si="0"/>
        <v>ok</v>
      </c>
      <c r="J8" t="str">
        <f t="shared" si="1"/>
        <v>Valid</v>
      </c>
    </row>
    <row r="9" spans="1:10">
      <c r="A9" t="str">
        <f>Hospital_Data!A9</f>
        <v>H004</v>
      </c>
      <c r="B9" t="str">
        <f>Hospital_Data!B9</f>
        <v>Demo Hospital Delta</v>
      </c>
      <c r="C9" t="str">
        <f>Hospital_Data!C9</f>
        <v>2026-03</v>
      </c>
      <c r="D9" t="str">
        <f>Hospital_Data!D9</f>
        <v>Project B</v>
      </c>
      <c r="E9" t="str">
        <f>Hospital_Data!E9</f>
        <v>YES</v>
      </c>
      <c r="F9" t="str">
        <f>Hospital_Data!F9</f>
        <v>COMPLETED</v>
      </c>
      <c r="G9" t="str">
        <f>IF(E9="","error",IF(COUNTIF(Allowed_Values!$A$2:$A$3,E9)&gt;0,"ok","error"))</f>
        <v>ok</v>
      </c>
      <c r="H9" t="str">
        <f>IF(F9="","error",IF(COUNTIF(Allowed_Values!$B$2:$B$4,F9)&gt;0,"ok","error"))</f>
        <v>ok</v>
      </c>
      <c r="I9" t="str">
        <f t="shared" si="0"/>
        <v>ok</v>
      </c>
      <c r="J9" t="str">
        <f t="shared" si="1"/>
        <v>Valid</v>
      </c>
    </row>
  </sheetData>
  <conditionalFormatting sqref="G2:I9">
    <cfRule type="expression" dxfId="1" priority="1">
      <formula>G2="error"</formula>
    </cfRule>
  </conditionalFormatting>
  <conditionalFormatting sqref="I2:I9">
    <cfRule type="expression" dxfId="0" priority="2">
      <formula>I2="ok"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31" customWidth="1"/>
    <col min="2" max="2" width="64" customWidth="1"/>
  </cols>
  <sheetData>
    <row r="1" spans="1:2" ht="30" customHeight="1">
      <c r="A1" s="1" t="s">
        <v>34</v>
      </c>
      <c r="B1" s="1" t="s">
        <v>35</v>
      </c>
    </row>
    <row r="3" spans="1:2">
      <c r="A3" t="s">
        <v>36</v>
      </c>
      <c r="B3">
        <f>COUNTA(Hospital_Data!A2:A9)</f>
        <v>8</v>
      </c>
    </row>
    <row r="4" spans="1:2">
      <c r="A4" t="s">
        <v>37</v>
      </c>
      <c r="B4">
        <f>COUNTIF(Validation_Checks!I2:I9,"ok")</f>
        <v>6</v>
      </c>
    </row>
    <row r="5" spans="1:2">
      <c r="A5" t="s">
        <v>38</v>
      </c>
      <c r="B5">
        <f>COUNTIF(Validation_Checks!I2:I9,"error")</f>
        <v>2</v>
      </c>
    </row>
    <row r="6" spans="1:2">
      <c r="A6" t="s">
        <v>39</v>
      </c>
      <c r="B6">
        <f>COUNTIF(Validation_Checks!G2:G9,"error")</f>
        <v>1</v>
      </c>
    </row>
    <row r="7" spans="1:2">
      <c r="A7" t="s">
        <v>40</v>
      </c>
      <c r="B7">
        <f>COUNTIF(Validation_Checks!H2:H9,"error")</f>
        <v>1</v>
      </c>
    </row>
    <row r="10" spans="1:2" ht="15">
      <c r="A10" s="3" t="s">
        <v>41</v>
      </c>
      <c r="B10" s="3"/>
    </row>
    <row r="11" spans="1:2">
      <c r="A11" t="s">
        <v>42</v>
      </c>
      <c r="B11" t="s">
        <v>43</v>
      </c>
    </row>
    <row r="12" spans="1:2">
      <c r="A12" t="s">
        <v>44</v>
      </c>
      <c r="B12" t="s">
        <v>45</v>
      </c>
    </row>
    <row r="13" spans="1:2">
      <c r="A13" t="s">
        <v>46</v>
      </c>
      <c r="B13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26" customWidth="1"/>
    <col min="2" max="2" width="27" customWidth="1"/>
  </cols>
  <sheetData>
    <row r="1" spans="1:2" ht="30" customHeight="1">
      <c r="A1" s="1" t="s">
        <v>48</v>
      </c>
      <c r="B1" s="1" t="s">
        <v>5</v>
      </c>
    </row>
    <row r="2" spans="1:2">
      <c r="A2" t="s">
        <v>10</v>
      </c>
      <c r="B2" t="s">
        <v>11</v>
      </c>
    </row>
    <row r="3" spans="1:2">
      <c r="A3" t="s">
        <v>19</v>
      </c>
      <c r="B3" t="s">
        <v>15</v>
      </c>
    </row>
    <row r="4" spans="1:2">
      <c r="B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4</vt:i4>
      </vt:variant>
    </vt:vector>
  </HeadingPairs>
  <TitlesOfParts>
    <vt:vector size="4" baseType="lpstr">
      <vt:lpstr>Hospital_Data</vt:lpstr>
      <vt:lpstr>Validation_Checks</vt:lpstr>
      <vt:lpstr>Validation_Summary</vt:lpstr>
      <vt:lpstr>Allowed_Values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ΔΗΜΗΤΡΙΟΥ ΕΙΡΗΝΗ</cp:lastModifiedBy>
  <dcterms:modified xsi:type="dcterms:W3CDTF">2026-10-27T11:08:40Z</dcterms:modified>
</cp:coreProperties>
</file>